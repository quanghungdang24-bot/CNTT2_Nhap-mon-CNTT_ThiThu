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760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<sst xmlns="http://schemas.openxmlformats.org/spreadsheetml/2006/main" count="69" uniqueCount="51">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</sst>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I18" sqref="I18"/>
    </sheetView>
  </sheetViews>
  <sheetFormatPr defaultColWidth="9" defaultRowHeight="16.8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VLOOKUP(C2,SanPham!$A$2:$C$8,2)</f>
        <v>Ke sach mini</v>
      </c>
      <c r="F2">
        <f>VLOOKUP(C2,SanPham!$A$2:$C$8,3,0)</f>
        <v>100000</v>
      </c>
      <c r="G2">
        <f>F2*D2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VLOOKUP(C3,SanPham!$A$2:$C$8,2)</f>
        <v>Balo hoc sinh</v>
      </c>
      <c r="F3">
        <f>VLOOKUP(C3,SanPham!$A$2:$C$8,3,0)</f>
        <v>250000</v>
      </c>
      <c r="G3">
        <f t="shared" ref="G3:G16" si="0">F3*D3</f>
        <v>1000000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>VLOOKUP(C4,SanPham!$A$2:$C$8,2)</f>
        <v>Hop but da nang</v>
      </c>
      <c r="F4">
        <f>VLOOKUP(C4,SanPham!$A$2:$C$8,3,0)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VLOOKUP(C5,SanPham!$A$2:$C$8,2)</f>
        <v>Ke sach mini</v>
      </c>
      <c r="F5">
        <f>VLOOKUP(C5,SanPham!$A$2:$C$8,3,0)</f>
        <v>100000</v>
      </c>
      <c r="G5">
        <f t="shared" si="0"/>
        <v>500000</v>
      </c>
    </row>
    <row r="6" hidden="1" spans="1:7">
      <c r="A6" t="s">
        <v>18</v>
      </c>
      <c r="B6" t="s">
        <v>19</v>
      </c>
      <c r="C6" t="s">
        <v>20</v>
      </c>
      <c r="D6">
        <v>1</v>
      </c>
      <c r="E6" t="str">
        <f>VLOOKUP(C6,SanPham!$A$2:$C$8,2)</f>
        <v>Balo hoc sinh</v>
      </c>
      <c r="F6">
        <f>VLOOKUP(C6,SanPham!$A$2:$C$8,3,0)</f>
        <v>35000</v>
      </c>
      <c r="G6">
        <f t="shared" si="0"/>
        <v>35000</v>
      </c>
    </row>
    <row r="7" hidden="1" spans="1:7">
      <c r="A7" t="s">
        <v>21</v>
      </c>
      <c r="B7" t="s">
        <v>22</v>
      </c>
      <c r="C7" t="s">
        <v>20</v>
      </c>
      <c r="D7">
        <v>4</v>
      </c>
      <c r="E7" t="str">
        <f>VLOOKUP(C7,SanPham!$A$2:$C$8,2)</f>
        <v>Balo hoc sinh</v>
      </c>
      <c r="F7">
        <f>VLOOKUP(C7,SanPham!$A$2:$C$8,3,0)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VLOOKUP(C8,SanPham!$A$2:$C$8,2)</f>
        <v>Balo hoc sinh</v>
      </c>
      <c r="F8">
        <f>VLOOKUP(C8,SanPham!$A$2:$C$8,3,0)</f>
        <v>250000</v>
      </c>
      <c r="G8">
        <f t="shared" si="0"/>
        <v>1250000</v>
      </c>
    </row>
    <row r="9" hidden="1" spans="1:7">
      <c r="A9" t="s">
        <v>25</v>
      </c>
      <c r="B9" t="s">
        <v>26</v>
      </c>
      <c r="C9" t="s">
        <v>15</v>
      </c>
      <c r="D9">
        <v>3</v>
      </c>
      <c r="E9" t="str">
        <f>VLOOKUP(C9,SanPham!$A$2:$C$8,2)</f>
        <v>Hop but da nang</v>
      </c>
      <c r="F9">
        <f>VLOOKUP(C9,SanPham!$A$2:$C$8,3,0)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>VLOOKUP(C10,SanPham!$A$2:$C$8,2)</f>
        <v>Balo hoc sinh</v>
      </c>
      <c r="F10">
        <f>VLOOKUP(C10,SanPham!$A$2:$C$8,3,0)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>VLOOKUP(C11,SanPham!$A$2:$C$8,2)</f>
        <v>Hop but da nang</v>
      </c>
      <c r="F11">
        <f>VLOOKUP(C11,SanPham!$A$2:$C$8,3,0)</f>
        <v>150000</v>
      </c>
      <c r="G11">
        <f t="shared" si="0"/>
        <v>300000</v>
      </c>
    </row>
    <row r="12" hidden="1" spans="1:7">
      <c r="A12" t="s">
        <v>32</v>
      </c>
      <c r="B12" t="s">
        <v>33</v>
      </c>
      <c r="C12" t="s">
        <v>34</v>
      </c>
      <c r="D12">
        <v>2</v>
      </c>
      <c r="E12" t="str">
        <f>VLOOKUP(C12,SanPham!$A$2:$C$8,2)</f>
        <v>Balo hoc sinh</v>
      </c>
      <c r="F12">
        <f>VLOOKUP(C12,SanPham!$A$2:$C$8,3,0)</f>
        <v>75000</v>
      </c>
      <c r="G12">
        <f t="shared" si="0"/>
        <v>150000</v>
      </c>
    </row>
    <row r="13" hidden="1" spans="1:7">
      <c r="A13" t="s">
        <v>35</v>
      </c>
      <c r="B13" t="s">
        <v>36</v>
      </c>
      <c r="C13" t="s">
        <v>15</v>
      </c>
      <c r="D13">
        <v>3</v>
      </c>
      <c r="E13" t="str">
        <f>VLOOKUP(C13,SanPham!$A$2:$C$8,2)</f>
        <v>Hop but da nang</v>
      </c>
      <c r="F13">
        <f>VLOOKUP(C13,SanPham!$A$2:$C$8,3,0)</f>
        <v>60000</v>
      </c>
      <c r="G13">
        <f t="shared" si="0"/>
        <v>180000</v>
      </c>
    </row>
    <row r="14" hidden="1" spans="1:7">
      <c r="A14" t="s">
        <v>37</v>
      </c>
      <c r="B14" t="s">
        <v>38</v>
      </c>
      <c r="C14" t="s">
        <v>20</v>
      </c>
      <c r="D14">
        <v>5</v>
      </c>
      <c r="E14" t="str">
        <f>VLOOKUP(C14,SanPham!$A$2:$C$8,2)</f>
        <v>Balo hoc sinh</v>
      </c>
      <c r="F14">
        <f>VLOOKUP(C14,SanPham!$A$2:$C$8,3,0)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VLOOKUP(C15,SanPham!$A$2:$C$8,2)</f>
        <v>Ke sach mini</v>
      </c>
      <c r="F15">
        <f>VLOOKUP(C15,SanPham!$A$2:$C$8,3,0)</f>
        <v>100000</v>
      </c>
      <c r="G15">
        <f t="shared" si="0"/>
        <v>400000</v>
      </c>
    </row>
    <row r="16" hidden="1" spans="1:7">
      <c r="A16" t="s">
        <v>41</v>
      </c>
      <c r="B16" t="s">
        <v>42</v>
      </c>
      <c r="C16" t="s">
        <v>43</v>
      </c>
      <c r="D16">
        <v>5</v>
      </c>
      <c r="E16" t="str">
        <f>VLOOKUP(C16,SanPham!$A$2:$C$8,2)</f>
        <v>Balo hoc sinh</v>
      </c>
      <c r="F16">
        <f>VLOOKUP(C16,SanPham!$A$2:$C$8,3,0)</f>
        <v>45000</v>
      </c>
      <c r="G16">
        <f t="shared" si="0"/>
        <v>225000</v>
      </c>
    </row>
  </sheetData>
  <autoFilter xmlns:etc="http://www.wps.cn/officeDocument/2017/etCustomData" ref="A1:G16" etc:filterBottomFollowUsedRange="0">
    <filterColumn colId="6">
      <filters>
        <filter val="300000"/>
        <filter val="400000"/>
        <filter val="500000"/>
        <filter val="1000000"/>
        <filter val="125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D2" sqref="D2"/>
    </sheetView>
  </sheetViews>
  <sheetFormatPr defaultColWidth="9" defaultRowHeight="16.8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QuangHưng Đặng</cp:lastModifiedBy>
  <dcterms:created xsi:type="dcterms:W3CDTF">2026-10-19T17:41:00Z</dcterms:created>
  <dcterms:modified xsi:type="dcterms:W3CDTF">2026-10-23T12:18:14Z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63629EBEE79CA9B516EEDA6ACD74AA1F_43</vt:lpwstr>
  </property>
  <property fmtid="{D5CDD505-2E9C-101B-9397-08002B2CF9AE}" pid="3" name="KSOProductBuildVer">
    <vt:lpwstr>1033-12.1.29181.29181</vt:lpwstr>
  </property>
  <property fmtid="{D5CDD505-2E9C-101B-9397-08002B2CF9AE}" pid="4" name="CalculationRule">
    <vt:i4>0</vt:i4>
  </property>
</Properties>
</file>